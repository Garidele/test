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z Cheltuieli" sheetId="1" state="visible" r:id="rId1"/>
    <sheet name="Calcul Salariu" sheetId="2" state="visible" r:id="rId2"/>
    <sheet name="Calcul General" sheetId="3" state="visible" r:id="rId3"/>
    <sheet name="Instrucțiu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000000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2E75B6"/>
      <sz val="11"/>
    </font>
    <font>
      <name val="Calibri"/>
      <i val="1"/>
      <color rgb="00595959"/>
      <sz val="11"/>
    </font>
    <font>
      <name val="Calibri"/>
      <color rgb="0040404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FFF9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1" t="inlineStr">
        <is>
          <t>DEVIZ DE CHELTUIELI</t>
        </is>
      </c>
    </row>
    <row r="2">
      <c r="A2" s="2" t="inlineStr">
        <is>
          <t>Proiect / Denumire lucrare:  (completați aici)</t>
        </is>
      </c>
    </row>
    <row r="4" ht="36" customHeight="1">
      <c r="A4" s="3" t="inlineStr">
        <is>
          <t>Nr.</t>
        </is>
      </c>
      <c r="B4" s="3" t="inlineStr">
        <is>
          <t>Denumire articol / lucrare</t>
        </is>
      </c>
      <c r="C4" s="3" t="inlineStr">
        <is>
          <t>U.M.</t>
        </is>
      </c>
      <c r="D4" s="3" t="inlineStr">
        <is>
          <t>Cantitate</t>
        </is>
      </c>
      <c r="E4" s="3" t="inlineStr">
        <is>
          <t>Preț unitar
(fără TVA)</t>
        </is>
      </c>
      <c r="F4" s="3" t="inlineStr">
        <is>
          <t>Valoare
(fără TVA)</t>
        </is>
      </c>
      <c r="G4" s="3" t="inlineStr">
        <is>
          <t>TVA
(19 %)</t>
        </is>
      </c>
    </row>
    <row r="5" ht="20" customHeight="1">
      <c r="A5" s="4" t="inlineStr">
        <is>
          <t>1</t>
        </is>
      </c>
      <c r="B5" s="5" t="inlineStr">
        <is>
          <t>Material 1</t>
        </is>
      </c>
      <c r="C5" s="6" t="inlineStr">
        <is>
          <t>buc</t>
        </is>
      </c>
      <c r="D5" s="7" t="n">
        <v>10</v>
      </c>
      <c r="E5" s="7" t="n">
        <v>25</v>
      </c>
      <c r="F5" s="8">
        <f>IF(D5=0,"",D5*E5)</f>
        <v/>
      </c>
      <c r="G5" s="8">
        <f>IF(F5="","",F5*0.19)</f>
        <v/>
      </c>
    </row>
    <row r="6" ht="20" customHeight="1">
      <c r="A6" s="4" t="inlineStr">
        <is>
          <t>2</t>
        </is>
      </c>
      <c r="B6" s="5" t="inlineStr">
        <is>
          <t>Material 2</t>
        </is>
      </c>
      <c r="C6" s="6" t="inlineStr">
        <is>
          <t>m²</t>
        </is>
      </c>
      <c r="D6" s="7" t="n">
        <v>5</v>
      </c>
      <c r="E6" s="7" t="n">
        <v>120</v>
      </c>
      <c r="F6" s="8">
        <f>IF(D6=0,"",D6*E6)</f>
        <v/>
      </c>
      <c r="G6" s="8">
        <f>IF(F6="","",F6*0.19)</f>
        <v/>
      </c>
    </row>
    <row r="7" ht="20" customHeight="1">
      <c r="A7" s="4" t="inlineStr">
        <is>
          <t>3</t>
        </is>
      </c>
      <c r="B7" s="5" t="inlineStr">
        <is>
          <t>Manoperă</t>
        </is>
      </c>
      <c r="C7" s="6" t="inlineStr">
        <is>
          <t>ore</t>
        </is>
      </c>
      <c r="D7" s="7" t="n">
        <v>8</v>
      </c>
      <c r="E7" s="7" t="n">
        <v>45</v>
      </c>
      <c r="F7" s="8">
        <f>IF(D7=0,"",D7*E7)</f>
        <v/>
      </c>
      <c r="G7" s="8">
        <f>IF(F7="","",F7*0.19)</f>
        <v/>
      </c>
    </row>
    <row r="8" ht="20" customHeight="1">
      <c r="A8" s="4" t="inlineStr">
        <is>
          <t>4</t>
        </is>
      </c>
      <c r="B8" s="5" t="inlineStr">
        <is>
          <t>Transport</t>
        </is>
      </c>
      <c r="C8" s="6" t="inlineStr">
        <is>
          <t>km</t>
        </is>
      </c>
      <c r="D8" s="7" t="n">
        <v>50</v>
      </c>
      <c r="E8" s="7" t="n">
        <v>2.5</v>
      </c>
      <c r="F8" s="8">
        <f>IF(D8=0,"",D8*E8)</f>
        <v/>
      </c>
      <c r="G8" s="8">
        <f>IF(F8="","",F8*0.19)</f>
        <v/>
      </c>
    </row>
    <row r="9" ht="20" customHeight="1">
      <c r="A9" s="4" t="inlineStr">
        <is>
          <t>5</t>
        </is>
      </c>
      <c r="B9" s="5" t="inlineStr">
        <is>
          <t>Alte cheltuieli</t>
        </is>
      </c>
      <c r="C9" s="6" t="inlineStr">
        <is>
          <t>buc</t>
        </is>
      </c>
      <c r="D9" s="7" t="n">
        <v>1</v>
      </c>
      <c r="E9" s="7" t="n">
        <v>300</v>
      </c>
      <c r="F9" s="8">
        <f>IF(D9=0,"",D9*E9)</f>
        <v/>
      </c>
      <c r="G9" s="8">
        <f>IF(F9="","",F9*0.19)</f>
        <v/>
      </c>
    </row>
    <row r="10" ht="20" customHeight="1">
      <c r="A10" s="4" t="inlineStr">
        <is>
          <t>6</t>
        </is>
      </c>
      <c r="B10" s="5" t="inlineStr"/>
      <c r="C10" s="6" t="inlineStr"/>
      <c r="D10" s="7" t="n">
        <v>0</v>
      </c>
      <c r="E10" s="7" t="n">
        <v>0</v>
      </c>
      <c r="F10" s="8">
        <f>IF(D10=0,"",D10*E10)</f>
        <v/>
      </c>
      <c r="G10" s="8">
        <f>IF(F10="","",F10*0.19)</f>
        <v/>
      </c>
    </row>
    <row r="11" ht="20" customHeight="1">
      <c r="A11" s="4" t="inlineStr">
        <is>
          <t>7</t>
        </is>
      </c>
      <c r="B11" s="5" t="inlineStr"/>
      <c r="C11" s="6" t="inlineStr"/>
      <c r="D11" s="7" t="n">
        <v>0</v>
      </c>
      <c r="E11" s="7" t="n">
        <v>0</v>
      </c>
      <c r="F11" s="8">
        <f>IF(D11=0,"",D11*E11)</f>
        <v/>
      </c>
      <c r="G11" s="8">
        <f>IF(F11="","",F11*0.19)</f>
        <v/>
      </c>
    </row>
    <row r="12" ht="20" customHeight="1">
      <c r="A12" s="4" t="inlineStr">
        <is>
          <t>8</t>
        </is>
      </c>
      <c r="B12" s="5" t="inlineStr"/>
      <c r="C12" s="6" t="inlineStr"/>
      <c r="D12" s="7" t="n">
        <v>0</v>
      </c>
      <c r="E12" s="7" t="n">
        <v>0</v>
      </c>
      <c r="F12" s="8">
        <f>IF(D12=0,"",D12*E12)</f>
        <v/>
      </c>
      <c r="G12" s="8">
        <f>IF(F12="","",F12*0.19)</f>
        <v/>
      </c>
    </row>
    <row r="13" ht="20" customHeight="1">
      <c r="A13" s="4" t="inlineStr">
        <is>
          <t>9</t>
        </is>
      </c>
      <c r="B13" s="5" t="inlineStr"/>
      <c r="C13" s="6" t="inlineStr"/>
      <c r="D13" s="7" t="n">
        <v>0</v>
      </c>
      <c r="E13" s="7" t="n">
        <v>0</v>
      </c>
      <c r="F13" s="8">
        <f>IF(D13=0,"",D13*E13)</f>
        <v/>
      </c>
      <c r="G13" s="8">
        <f>IF(F13="","",F13*0.19)</f>
        <v/>
      </c>
    </row>
    <row r="14" ht="20" customHeight="1">
      <c r="A14" s="4" t="inlineStr">
        <is>
          <t>10</t>
        </is>
      </c>
      <c r="B14" s="5" t="inlineStr"/>
      <c r="C14" s="6" t="inlineStr"/>
      <c r="D14" s="7" t="n">
        <v>0</v>
      </c>
      <c r="E14" s="7" t="n">
        <v>0</v>
      </c>
      <c r="F14" s="8">
        <f>IF(D14=0,"",D14*E14)</f>
        <v/>
      </c>
      <c r="G14" s="8">
        <f>IF(F14="","",F14*0.19)</f>
        <v/>
      </c>
    </row>
    <row r="15" ht="22" customHeight="1">
      <c r="A15" s="9" t="inlineStr">
        <is>
          <t>TOTAL (fără TVA)</t>
        </is>
      </c>
      <c r="B15" s="10" t="n"/>
      <c r="C15" s="10" t="n"/>
      <c r="D15" s="10" t="n"/>
      <c r="E15" s="10" t="n"/>
      <c r="F15" s="11">
        <f>SUM(F5:F14)</f>
        <v/>
      </c>
      <c r="G15" s="11">
        <f>SUM(G5:G14)</f>
        <v/>
      </c>
    </row>
    <row r="16" ht="22" customHeight="1">
      <c r="A16" s="12" t="inlineStr">
        <is>
          <t>TOTAL CU TVA</t>
        </is>
      </c>
      <c r="B16" s="10" t="n"/>
      <c r="C16" s="10" t="n"/>
      <c r="D16" s="10" t="n"/>
      <c r="E16" s="10" t="n"/>
      <c r="F16" s="13">
        <f>F15+G15</f>
        <v/>
      </c>
      <c r="G16" s="10" t="n"/>
    </row>
    <row r="18">
      <c r="A18" s="14" t="inlineStr">
        <is>
          <t>🟡 Celulele GALBENE sunt celule de INTRARE (editabile).   ⬜ Celulele GRISE se calculează automat.</t>
        </is>
      </c>
    </row>
  </sheetData>
  <mergeCells count="6">
    <mergeCell ref="A1:G1"/>
    <mergeCell ref="A18:G18"/>
    <mergeCell ref="A16:E16"/>
    <mergeCell ref="A15:E15"/>
    <mergeCell ref="A2:G2"/>
    <mergeCell ref="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 ht="28" customHeight="1">
      <c r="A1" s="1" t="inlineStr">
        <is>
          <t>CALCUL SALARIU NET</t>
        </is>
      </c>
    </row>
    <row r="2">
      <c r="A2" s="15" t="inlineStr">
        <is>
          <t>Introduceți valorile în câmpurile galbene.</t>
        </is>
      </c>
    </row>
    <row r="3">
      <c r="A3" s="16" t="inlineStr">
        <is>
          <t>Element</t>
        </is>
      </c>
      <c r="B3" s="16" t="inlineStr">
        <is>
          <t>Valoare (RON)</t>
        </is>
      </c>
      <c r="C3" s="16" t="inlineStr">
        <is>
          <t>Note</t>
        </is>
      </c>
    </row>
    <row r="4" ht="20" customHeight="1">
      <c r="A4" s="17" t="inlineStr">
        <is>
          <t>Salariu brut (negociat)</t>
        </is>
      </c>
      <c r="B4" s="7" t="n">
        <v>3000</v>
      </c>
      <c r="C4" s="18" t="inlineStr">
        <is>
          <t>INTRARE ← editați</t>
        </is>
      </c>
    </row>
    <row r="5" ht="20" customHeight="1">
      <c r="A5" s="17" t="inlineStr">
        <is>
          <t>Sporuri / indemnizații (brut)</t>
        </is>
      </c>
      <c r="B5" s="7" t="n">
        <v>0</v>
      </c>
      <c r="C5" s="18" t="inlineStr">
        <is>
          <t>INTRARE ← editați</t>
        </is>
      </c>
    </row>
    <row r="6">
      <c r="A6" s="19" t="inlineStr">
        <is>
          <t>── Rețineri angajat ──</t>
        </is>
      </c>
    </row>
    <row r="7" ht="20" customHeight="1">
      <c r="A7" s="17" t="inlineStr">
        <is>
          <t>CAS – pensie (25 %)</t>
        </is>
      </c>
      <c r="B7" s="8">
        <f>(B4+B5)*0.25</f>
        <v/>
      </c>
      <c r="C7" s="18" t="inlineStr">
        <is>
          <t>calculat automat</t>
        </is>
      </c>
    </row>
    <row r="8" ht="20" customHeight="1">
      <c r="A8" s="17" t="inlineStr">
        <is>
          <t>CASS – sănătate (10 %)</t>
        </is>
      </c>
      <c r="B8" s="8">
        <f>(B4+B5)*0.10</f>
        <v/>
      </c>
      <c r="C8" s="18" t="inlineStr">
        <is>
          <t>calculat automat</t>
        </is>
      </c>
    </row>
    <row r="9" ht="20" customHeight="1">
      <c r="A9" s="17" t="inlineStr">
        <is>
          <t>Venit impozabil (brut – CAS – CASS – ded.pers.)</t>
        </is>
      </c>
      <c r="B9" s="8">
        <f>MAX(0,(B4+B5)-B7-B8-300)</f>
        <v/>
      </c>
      <c r="C9" s="18" t="inlineStr">
        <is>
          <t>ded. pers. = 300 RON (simplificat)</t>
        </is>
      </c>
    </row>
    <row r="10" ht="20" customHeight="1">
      <c r="A10" s="17" t="inlineStr">
        <is>
          <t>Impozit pe venit (10 %)</t>
        </is>
      </c>
      <c r="B10" s="8">
        <f>B9*0.10</f>
        <v/>
      </c>
      <c r="C10" s="18" t="inlineStr">
        <is>
          <t>calculat automat</t>
        </is>
      </c>
    </row>
    <row r="11">
      <c r="A11" s="20" t="inlineStr">
        <is>
          <t>SALARIU NET</t>
        </is>
      </c>
      <c r="B11" s="13">
        <f>(B4+B5)-B7-B8-B10</f>
        <v/>
      </c>
      <c r="C11" s="21">
        <f> salariu net de mână</f>
        <v/>
      </c>
    </row>
    <row r="13">
      <c r="A13" s="14" t="inlineStr">
        <is>
          <t>🟡 Câmpuri galbene = INTRARE (editabile).   ⬜ Câmpuri gri = CALCUL automat.</t>
        </is>
      </c>
    </row>
  </sheetData>
  <mergeCells count="5">
    <mergeCell ref="A13:C13"/>
    <mergeCell ref="A1:C1"/>
    <mergeCell ref="A6:C6"/>
    <mergeCell ref="A1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1" t="inlineStr">
        <is>
          <t>CALCUL GENERAL – TEMPLATE REUTILIZABIL</t>
        </is>
      </c>
    </row>
    <row r="2">
      <c r="A2" s="15" t="inlineStr">
        <is>
          <t>Descriere / Titlu proiect:  (completați aici)</t>
        </is>
      </c>
    </row>
    <row r="3">
      <c r="A3" s="19" t="inlineStr">
        <is>
          <t>PARAMETRI GLOBALI</t>
        </is>
      </c>
    </row>
    <row r="4">
      <c r="A4" s="17" t="inlineStr">
        <is>
          <t>Rată TVA (%)</t>
        </is>
      </c>
      <c r="B4" s="22" t="n">
        <v>19</v>
      </c>
      <c r="C4" s="18" t="inlineStr">
        <is>
          <t>← INTRARE</t>
        </is>
      </c>
    </row>
    <row r="5">
      <c r="A5" s="17" t="inlineStr">
        <is>
          <t>Discount (%)</t>
        </is>
      </c>
      <c r="B5" s="22" t="n">
        <v>5</v>
      </c>
      <c r="C5" s="18" t="inlineStr">
        <is>
          <t>← INTRARE</t>
        </is>
      </c>
    </row>
    <row r="6">
      <c r="A6" s="17" t="inlineStr">
        <is>
          <t>Monedă</t>
        </is>
      </c>
      <c r="B6" s="22" t="inlineStr">
        <is>
          <t>RON</t>
        </is>
      </c>
      <c r="C6" s="18" t="inlineStr">
        <is>
          <t>← INTRARE</t>
        </is>
      </c>
    </row>
    <row r="10" ht="36" customHeight="1">
      <c r="A10" s="3" t="inlineStr">
        <is>
          <t>Nr.</t>
        </is>
      </c>
      <c r="B10" s="3" t="inlineStr">
        <is>
          <t>Descriere</t>
        </is>
      </c>
      <c r="C10" s="3" t="inlineStr">
        <is>
          <t>Cantitate</t>
        </is>
      </c>
      <c r="D10" s="3" t="inlineStr">
        <is>
          <t>Preț/U.M.</t>
        </is>
      </c>
      <c r="E10" s="3" t="inlineStr">
        <is>
          <t>Subtotal</t>
        </is>
      </c>
      <c r="F10" s="3" t="inlineStr">
        <is>
          <t>Discount</t>
        </is>
      </c>
      <c r="G10" s="3" t="inlineStr">
        <is>
          <t>Val. după disc.</t>
        </is>
      </c>
      <c r="H10" s="3" t="inlineStr">
        <is>
          <t>TVA</t>
        </is>
      </c>
    </row>
    <row r="11" ht="20" customHeight="1">
      <c r="A11" s="4" t="n">
        <v>1</v>
      </c>
      <c r="B11" s="5" t="inlineStr">
        <is>
          <t>Articol 1</t>
        </is>
      </c>
      <c r="C11" s="7" t="n">
        <v>2</v>
      </c>
      <c r="D11" s="7" t="n">
        <v>10</v>
      </c>
      <c r="E11" s="8">
        <f>IF(C11=0,"",C11*D11)</f>
        <v/>
      </c>
      <c r="F11" s="8">
        <f>IF(E11="","",E11*B5/100)</f>
        <v/>
      </c>
      <c r="G11" s="8">
        <f>IF(E11="","",E11-F11)</f>
        <v/>
      </c>
      <c r="H11" s="8">
        <f>IF(G11="","",G11*B4/100)</f>
        <v/>
      </c>
    </row>
    <row r="12" ht="20" customHeight="1">
      <c r="A12" s="4" t="n">
        <v>2</v>
      </c>
      <c r="B12" s="5" t="inlineStr">
        <is>
          <t>Articol 2</t>
        </is>
      </c>
      <c r="C12" s="7" t="n">
        <v>4</v>
      </c>
      <c r="D12" s="7" t="n">
        <v>20</v>
      </c>
      <c r="E12" s="8">
        <f>IF(C12=0,"",C12*D12)</f>
        <v/>
      </c>
      <c r="F12" s="8">
        <f>IF(E12="","",E12*B5/100)</f>
        <v/>
      </c>
      <c r="G12" s="8">
        <f>IF(E12="","",E12-F12)</f>
        <v/>
      </c>
      <c r="H12" s="8">
        <f>IF(G12="","",G12*B4/100)</f>
        <v/>
      </c>
    </row>
    <row r="13" ht="20" customHeight="1">
      <c r="A13" s="4" t="n">
        <v>3</v>
      </c>
      <c r="B13" s="5" t="inlineStr">
        <is>
          <t>Articol 3</t>
        </is>
      </c>
      <c r="C13" s="7" t="n">
        <v>6</v>
      </c>
      <c r="D13" s="7" t="n">
        <v>30</v>
      </c>
      <c r="E13" s="8">
        <f>IF(C13=0,"",C13*D13)</f>
        <v/>
      </c>
      <c r="F13" s="8">
        <f>IF(E13="","",E13*B5/100)</f>
        <v/>
      </c>
      <c r="G13" s="8">
        <f>IF(E13="","",E13-F13)</f>
        <v/>
      </c>
      <c r="H13" s="8">
        <f>IF(G13="","",G13*B4/100)</f>
        <v/>
      </c>
    </row>
    <row r="14" ht="20" customHeight="1">
      <c r="A14" s="4" t="n">
        <v>4</v>
      </c>
      <c r="B14" s="5" t="inlineStr"/>
      <c r="C14" s="7" t="n">
        <v>0</v>
      </c>
      <c r="D14" s="7" t="n">
        <v>0</v>
      </c>
      <c r="E14" s="8">
        <f>IF(C14=0,"",C14*D14)</f>
        <v/>
      </c>
      <c r="F14" s="8">
        <f>IF(E14="","",E14*B5/100)</f>
        <v/>
      </c>
      <c r="G14" s="8">
        <f>IF(E14="","",E14-F14)</f>
        <v/>
      </c>
      <c r="H14" s="8">
        <f>IF(G14="","",G14*B4/100)</f>
        <v/>
      </c>
    </row>
    <row r="15" ht="20" customHeight="1">
      <c r="A15" s="4" t="n">
        <v>5</v>
      </c>
      <c r="B15" s="5" t="inlineStr"/>
      <c r="C15" s="7" t="n">
        <v>0</v>
      </c>
      <c r="D15" s="7" t="n">
        <v>0</v>
      </c>
      <c r="E15" s="8">
        <f>IF(C15=0,"",C15*D15)</f>
        <v/>
      </c>
      <c r="F15" s="8">
        <f>IF(E15="","",E15*B5/100)</f>
        <v/>
      </c>
      <c r="G15" s="8">
        <f>IF(E15="","",E15-F15)</f>
        <v/>
      </c>
      <c r="H15" s="8">
        <f>IF(G15="","",G15*B4/100)</f>
        <v/>
      </c>
    </row>
    <row r="16" ht="20" customHeight="1">
      <c r="A16" s="4" t="n">
        <v>6</v>
      </c>
      <c r="B16" s="5" t="inlineStr"/>
      <c r="C16" s="7" t="n">
        <v>0</v>
      </c>
      <c r="D16" s="7" t="n">
        <v>0</v>
      </c>
      <c r="E16" s="8">
        <f>IF(C16=0,"",C16*D16)</f>
        <v/>
      </c>
      <c r="F16" s="8">
        <f>IF(E16="","",E16*B5/100)</f>
        <v/>
      </c>
      <c r="G16" s="8">
        <f>IF(E16="","",E16-F16)</f>
        <v/>
      </c>
      <c r="H16" s="8">
        <f>IF(G16="","",G16*B4/100)</f>
        <v/>
      </c>
    </row>
    <row r="17" ht="20" customHeight="1">
      <c r="A17" s="4" t="n">
        <v>7</v>
      </c>
      <c r="B17" s="5" t="inlineStr"/>
      <c r="C17" s="7" t="n">
        <v>0</v>
      </c>
      <c r="D17" s="7" t="n">
        <v>0</v>
      </c>
      <c r="E17" s="8">
        <f>IF(C17=0,"",C17*D17)</f>
        <v/>
      </c>
      <c r="F17" s="8">
        <f>IF(E17="","",E17*B5/100)</f>
        <v/>
      </c>
      <c r="G17" s="8">
        <f>IF(E17="","",E17-F17)</f>
        <v/>
      </c>
      <c r="H17" s="8">
        <f>IF(G17="","",G17*B4/100)</f>
        <v/>
      </c>
    </row>
    <row r="18" ht="20" customHeight="1">
      <c r="A18" s="4" t="n">
        <v>8</v>
      </c>
      <c r="B18" s="5" t="inlineStr"/>
      <c r="C18" s="7" t="n">
        <v>0</v>
      </c>
      <c r="D18" s="7" t="n">
        <v>0</v>
      </c>
      <c r="E18" s="8">
        <f>IF(C18=0,"",C18*D18)</f>
        <v/>
      </c>
      <c r="F18" s="8">
        <f>IF(E18="","",E18*B5/100)</f>
        <v/>
      </c>
      <c r="G18" s="8">
        <f>IF(E18="","",E18-F18)</f>
        <v/>
      </c>
      <c r="H18" s="8">
        <f>IF(G18="","",G18*B4/100)</f>
        <v/>
      </c>
    </row>
    <row r="19" ht="20" customHeight="1">
      <c r="A19" s="4" t="n">
        <v>9</v>
      </c>
      <c r="B19" s="5" t="inlineStr"/>
      <c r="C19" s="7" t="n">
        <v>0</v>
      </c>
      <c r="D19" s="7" t="n">
        <v>0</v>
      </c>
      <c r="E19" s="8">
        <f>IF(C19=0,"",C19*D19)</f>
        <v/>
      </c>
      <c r="F19" s="8">
        <f>IF(E19="","",E19*B5/100)</f>
        <v/>
      </c>
      <c r="G19" s="8">
        <f>IF(E19="","",E19-F19)</f>
        <v/>
      </c>
      <c r="H19" s="8">
        <f>IF(G19="","",G19*B4/100)</f>
        <v/>
      </c>
    </row>
    <row r="20" ht="20" customHeight="1">
      <c r="A20" s="4" t="n">
        <v>10</v>
      </c>
      <c r="B20" s="5" t="inlineStr"/>
      <c r="C20" s="7" t="n">
        <v>0</v>
      </c>
      <c r="D20" s="7" t="n">
        <v>0</v>
      </c>
      <c r="E20" s="8">
        <f>IF(C20=0,"",C20*D20)</f>
        <v/>
      </c>
      <c r="F20" s="8">
        <f>IF(E20="","",E20*B5/100)</f>
        <v/>
      </c>
      <c r="G20" s="8">
        <f>IF(E20="","",E20-F20)</f>
        <v/>
      </c>
      <c r="H20" s="8">
        <f>IF(G20="","",G20*B4/100)</f>
        <v/>
      </c>
    </row>
    <row r="21" ht="22" customHeight="1">
      <c r="A21" s="9" t="inlineStr">
        <is>
          <t>TOTAL</t>
        </is>
      </c>
      <c r="B21" s="10" t="n"/>
      <c r="C21" s="10" t="n"/>
      <c r="D21" s="10" t="n"/>
      <c r="E21" s="11">
        <f>SUMIF(E11:E20,"&lt;&gt;""",E11:E20)</f>
        <v/>
      </c>
      <c r="F21" s="11">
        <f>SUMIF(F11:F20,"&lt;&gt;""",F11:F20)</f>
        <v/>
      </c>
      <c r="G21" s="11">
        <f>SUMIF(G11:G20,"&lt;&gt;""",G11:G20)</f>
        <v/>
      </c>
      <c r="H21" s="11">
        <f>SUMIF(H11:H20,"&lt;&gt;""",H11:H20)</f>
        <v/>
      </c>
    </row>
    <row r="22" ht="22" customHeight="1">
      <c r="A22" s="12" t="inlineStr">
        <is>
          <t>TOTAL FINAL (cu TVA)</t>
        </is>
      </c>
      <c r="B22" s="10" t="n"/>
      <c r="C22" s="10" t="n"/>
      <c r="D22" s="10" t="n"/>
      <c r="E22" s="10" t="n"/>
      <c r="F22" s="10" t="n"/>
      <c r="G22" s="13">
        <f>G21+H21</f>
        <v/>
      </c>
      <c r="H22" s="10" t="n"/>
    </row>
    <row r="24">
      <c r="A24" s="14" t="inlineStr">
        <is>
          <t>🟡 Celulele GALBENE sunt câmpuri de INTRARE (editabile manual).   ⬜ Celulele GRISE se calculează automat pe baza intrărilor.</t>
        </is>
      </c>
    </row>
  </sheetData>
  <mergeCells count="6">
    <mergeCell ref="A24:H24"/>
    <mergeCell ref="A2:H2"/>
    <mergeCell ref="A21:D21"/>
    <mergeCell ref="A22:F22"/>
    <mergeCell ref="A3:C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INSTRUCȚIUNI DE UTILIZARE A TEMPLATE-ULUI EXCEL</t>
        </is>
      </c>
    </row>
    <row r="2" ht="18" customHeight="1">
      <c r="A2" s="23" t="inlineStr"/>
    </row>
    <row r="3" ht="18" customHeight="1">
      <c r="A3" s="24" t="inlineStr">
        <is>
          <t>STRUCTURA FIȘIERULUI</t>
        </is>
      </c>
    </row>
    <row r="4" ht="18" customHeight="1">
      <c r="A4" s="25" t="inlineStr">
        <is>
          <t>Fișierul conține 3 foi de calcul principale:</t>
        </is>
      </c>
    </row>
    <row r="5" ht="18" customHeight="1">
      <c r="A5" s="25" t="inlineStr">
        <is>
          <t xml:space="preserve">  1. Deviz Cheltuieli – pentru calculul costurilor unui proiect/lucrare</t>
        </is>
      </c>
    </row>
    <row r="6" ht="18" customHeight="1">
      <c r="A6" s="25" t="inlineStr">
        <is>
          <t xml:space="preserve">  2. Calcul Salariu  – pentru calculul salariului net dintr-un salariu brut</t>
        </is>
      </c>
    </row>
    <row r="7" ht="18" customHeight="1">
      <c r="A7" s="25" t="inlineStr">
        <is>
          <t xml:space="preserve">  3. Calcul General  – template reutilizabil cu discount și TVA configurabil</t>
        </is>
      </c>
    </row>
    <row r="8" ht="18" customHeight="1">
      <c r="A8" s="23" t="inlineStr"/>
    </row>
    <row r="9" ht="18" customHeight="1">
      <c r="A9" s="24" t="inlineStr">
        <is>
          <t>CUM SE UTILIZEAZĂ</t>
        </is>
      </c>
    </row>
    <row r="10" ht="18" customHeight="1">
      <c r="A10" s="25" t="inlineStr">
        <is>
          <t>• Celulele GALBENE (fundal galben) sunt câmpuri de INTRARE – introduceți valorile dvs.</t>
        </is>
      </c>
    </row>
    <row r="11" ht="18" customHeight="1">
      <c r="A11" s="25" t="inlineStr">
        <is>
          <t>• Celulele GRISE (fundal gri)   sunt calculate AUTOMAT – nu modificați formulele!</t>
        </is>
      </c>
    </row>
    <row r="12" ht="18" customHeight="1">
      <c r="A12" s="25" t="inlineStr">
        <is>
          <t>• Celulele VERZI                sunt TOTALURI finale.</t>
        </is>
      </c>
    </row>
    <row r="13" ht="18" customHeight="1">
      <c r="A13" s="23" t="inlineStr"/>
    </row>
    <row r="14" ht="18" customHeight="1">
      <c r="A14" s="24" t="inlineStr">
        <is>
          <t>FOAIA 'Deviz Cheltuieli'</t>
        </is>
      </c>
    </row>
    <row r="15" ht="18" customHeight="1">
      <c r="A15" s="25" t="inlineStr">
        <is>
          <t>• Completați denumirea articolului (col. B), U.M. (col. C),</t>
        </is>
      </c>
    </row>
    <row r="16" ht="18" customHeight="1">
      <c r="A16" s="25" t="inlineStr">
        <is>
          <t xml:space="preserve">  cantitatea (col. D) și prețul unitar fără TVA (col. E).</t>
        </is>
      </c>
    </row>
    <row r="17" ht="18" customHeight="1">
      <c r="A17" s="25" t="inlineStr">
        <is>
          <t>• Coloana F (Valoare) și G (TVA 19%) se calculează automat.</t>
        </is>
      </c>
    </row>
    <row r="18" ht="18" customHeight="1">
      <c r="A18" s="25" t="inlineStr">
        <is>
          <t>• Rândul TOTAL și TOTAL CU TVA se actualizează automat.</t>
        </is>
      </c>
    </row>
    <row r="19" ht="18" customHeight="1">
      <c r="A19" s="23" t="inlineStr"/>
    </row>
    <row r="20" ht="18" customHeight="1">
      <c r="A20" s="24" t="inlineStr">
        <is>
          <t>FOAIA 'Calcul Salariu'</t>
        </is>
      </c>
    </row>
    <row r="21" ht="18" customHeight="1">
      <c r="A21" s="25" t="inlineStr">
        <is>
          <t>• Introduceți salariul brut negociat și eventualele sporuri.</t>
        </is>
      </c>
    </row>
    <row r="22" ht="18" customHeight="1">
      <c r="A22" s="25" t="inlineStr">
        <is>
          <t>• CAS (25%), CASS (10%), impozit pe venit (10%) și salariul net</t>
        </is>
      </c>
    </row>
    <row r="23" ht="18" customHeight="1">
      <c r="A23" s="25" t="inlineStr">
        <is>
          <t xml:space="preserve">  se calculează automat conform legislației române.</t>
        </is>
      </c>
    </row>
    <row r="24" ht="18" customHeight="1">
      <c r="A24" s="25" t="inlineStr">
        <is>
          <t>• Deducerea personală folosită este 300 RON (valoare simplificată).</t>
        </is>
      </c>
    </row>
    <row r="25" ht="18" customHeight="1">
      <c r="A25" s="23" t="inlineStr"/>
    </row>
    <row r="26" ht="18" customHeight="1">
      <c r="A26" s="24" t="inlineStr">
        <is>
          <t>FOAIA 'Calcul General'</t>
        </is>
      </c>
    </row>
    <row r="27" ht="18" customHeight="1">
      <c r="A27" s="25" t="inlineStr">
        <is>
          <t>• Configurați Rata TVA (%) și Discount (%) în celulele B4/B5.</t>
        </is>
      </c>
    </row>
    <row r="28" ht="18" customHeight="1">
      <c r="A28" s="25" t="inlineStr">
        <is>
          <t>• Completați liniile tabelului (descriere, cantitate, preț/U.M.).</t>
        </is>
      </c>
    </row>
    <row r="29" ht="18" customHeight="1">
      <c r="A29" s="25" t="inlineStr">
        <is>
          <t>• Subtotal, discount, valoarea după discount și TVA se calculează automat.</t>
        </is>
      </c>
    </row>
    <row r="30" ht="18" customHeight="1">
      <c r="A30" s="23" t="inlineStr"/>
    </row>
    <row r="31" ht="18" customHeight="1">
      <c r="A31" s="24" t="inlineStr">
        <is>
          <t>NOTĂ</t>
        </is>
      </c>
    </row>
    <row r="32" ht="18" customHeight="1">
      <c r="A32" s="25" t="inlineStr">
        <is>
          <t>Puteți adăuga oricâte rânduri doriți copiind un rând existent și</t>
        </is>
      </c>
    </row>
    <row r="33" ht="18" customHeight="1">
      <c r="A33" s="25" t="inlineStr">
        <is>
          <t>ajustând formulele. Nu ștergeți rândurile de TOTAL.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2026-05-13T16:06:40Z</dcterms:created>
  <dcterms:modified xsi:type="dcterms:W3CDTF">2026-05-13T16:06:40Z</dcterms:modified>
</cp:coreProperties>
</file>